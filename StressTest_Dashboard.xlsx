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70" windowWidth="19815" windowHeight="7875" tabRatio="538"/>
  </bookViews>
  <sheets>
    <sheet name="Raw_Data" sheetId="1" r:id="rId1"/>
    <sheet name="Stress_Calculations" sheetId="3" r:id="rId2"/>
    <sheet name="Stress_Assumptions" sheetId="2" r:id="rId3"/>
    <sheet name="BRI_Scorecard" sheetId="4" r:id="rId4"/>
    <sheet name="Dashboard" sheetId="5" r:id="rId5"/>
  </sheets>
  <calcPr calcId="124519"/>
</workbook>
</file>

<file path=xl/calcChain.xml><?xml version="1.0" encoding="utf-8"?>
<calcChain xmlns="http://schemas.openxmlformats.org/spreadsheetml/2006/main">
  <c r="B28" i="5"/>
  <c r="B21"/>
  <c r="B14"/>
  <c r="B7"/>
  <c r="J4" i="4"/>
  <c r="B3"/>
  <c r="C3"/>
  <c r="D3"/>
  <c r="E3"/>
  <c r="F3"/>
  <c r="B4"/>
  <c r="C4"/>
  <c r="D4"/>
  <c r="E4"/>
  <c r="F4"/>
  <c r="B5"/>
  <c r="C5"/>
  <c r="D5"/>
  <c r="G5" s="1"/>
  <c r="E5"/>
  <c r="F5"/>
  <c r="F2"/>
  <c r="E2"/>
  <c r="D2"/>
  <c r="C2"/>
  <c r="G2" s="1"/>
  <c r="B2"/>
  <c r="A3" i="3"/>
  <c r="B3"/>
  <c r="C3" s="1"/>
  <c r="D3"/>
  <c r="J3" i="4" s="1"/>
  <c r="E3" i="3"/>
  <c r="G3" s="1"/>
  <c r="I3" i="4" s="1"/>
  <c r="H3" i="3"/>
  <c r="J3" s="1"/>
  <c r="K3"/>
  <c r="L3"/>
  <c r="M3"/>
  <c r="N3"/>
  <c r="O3" s="1"/>
  <c r="P3"/>
  <c r="Q3"/>
  <c r="S3" s="1"/>
  <c r="T3"/>
  <c r="V3" s="1"/>
  <c r="A4"/>
  <c r="B4"/>
  <c r="D4" s="1"/>
  <c r="E4"/>
  <c r="F4" s="1"/>
  <c r="H4"/>
  <c r="I4" s="1"/>
  <c r="J4"/>
  <c r="K4"/>
  <c r="M4" s="1"/>
  <c r="N4"/>
  <c r="P4" s="1"/>
  <c r="Q4"/>
  <c r="R4"/>
  <c r="S4"/>
  <c r="T4"/>
  <c r="U4" s="1"/>
  <c r="V4"/>
  <c r="A5"/>
  <c r="B5"/>
  <c r="C5" s="1"/>
  <c r="E5"/>
  <c r="G5" s="1"/>
  <c r="I5" i="4" s="1"/>
  <c r="H5" i="3"/>
  <c r="I5" s="1"/>
  <c r="K5"/>
  <c r="M5" s="1"/>
  <c r="N5"/>
  <c r="O5" s="1"/>
  <c r="Q5"/>
  <c r="S5" s="1"/>
  <c r="T5"/>
  <c r="U5" s="1"/>
  <c r="V2"/>
  <c r="S2"/>
  <c r="J2"/>
  <c r="R2"/>
  <c r="T2"/>
  <c r="U2" s="1"/>
  <c r="Q2"/>
  <c r="N2"/>
  <c r="O2" s="1"/>
  <c r="K2"/>
  <c r="M2" s="1"/>
  <c r="H2"/>
  <c r="I2" s="1"/>
  <c r="A2"/>
  <c r="E2"/>
  <c r="F2" s="1"/>
  <c r="B2"/>
  <c r="D2" s="1"/>
  <c r="J2" i="4" s="1"/>
  <c r="C2" i="3" l="1"/>
  <c r="G2"/>
  <c r="I2" i="4" s="1"/>
  <c r="G3"/>
  <c r="H2" s="1"/>
  <c r="L2" i="3"/>
  <c r="P2"/>
  <c r="L5"/>
  <c r="D5"/>
  <c r="J5" i="4" s="1"/>
  <c r="K5" s="1"/>
  <c r="G4" i="3"/>
  <c r="I4" i="4" s="1"/>
  <c r="P5" i="3"/>
  <c r="G4" i="4"/>
  <c r="H4" s="1"/>
  <c r="H3"/>
  <c r="O4" i="3"/>
  <c r="C4"/>
  <c r="U3"/>
  <c r="I3"/>
  <c r="V5"/>
  <c r="R5"/>
  <c r="J5"/>
  <c r="F5"/>
  <c r="L4"/>
  <c r="R3"/>
  <c r="F3"/>
  <c r="K2" i="4" l="1"/>
  <c r="H5"/>
  <c r="K4"/>
  <c r="K3"/>
</calcChain>
</file>

<file path=xl/sharedStrings.xml><?xml version="1.0" encoding="utf-8"?>
<sst xmlns="http://schemas.openxmlformats.org/spreadsheetml/2006/main" count="68" uniqueCount="61">
  <si>
    <t>Bank</t>
  </si>
  <si>
    <t>GNPA</t>
  </si>
  <si>
    <t>NNPA</t>
  </si>
  <si>
    <t>PCR</t>
  </si>
  <si>
    <t>CAR</t>
  </si>
  <si>
    <t>NIM</t>
  </si>
  <si>
    <t>ROA</t>
  </si>
  <si>
    <t>ROE</t>
  </si>
  <si>
    <t>Parameter</t>
  </si>
  <si>
    <t>Moderate</t>
  </si>
  <si>
    <t>Severe</t>
  </si>
  <si>
    <t>SBI</t>
  </si>
  <si>
    <t>PNB</t>
  </si>
  <si>
    <t>HDFC</t>
  </si>
  <si>
    <t>ICICI</t>
  </si>
  <si>
    <t>LCR</t>
  </si>
  <si>
    <t>Capital Score</t>
  </si>
  <si>
    <t>Asset Score</t>
  </si>
  <si>
    <t>Profitability Score</t>
  </si>
  <si>
    <t>Liquidity Score</t>
  </si>
  <si>
    <t>Risk Score</t>
  </si>
  <si>
    <t>BRI</t>
  </si>
  <si>
    <t>Base GNPA</t>
  </si>
  <si>
    <t>Mod GNPA</t>
  </si>
  <si>
    <t>Sev GNPA</t>
  </si>
  <si>
    <t>Base CAR</t>
  </si>
  <si>
    <t>Mod CAR</t>
  </si>
  <si>
    <t>Sev CAR</t>
  </si>
  <si>
    <t>Base NIM</t>
  </si>
  <si>
    <t>Mod NIM</t>
  </si>
  <si>
    <t>Sev NIM</t>
  </si>
  <si>
    <t>Base ROA</t>
  </si>
  <si>
    <t>Mod ROA</t>
  </si>
  <si>
    <t>Sev ROA</t>
  </si>
  <si>
    <t>Base ROE</t>
  </si>
  <si>
    <t>Mod ROE</t>
  </si>
  <si>
    <t>Sev ROE</t>
  </si>
  <si>
    <t>Base PCR</t>
  </si>
  <si>
    <t>Mod PCR</t>
  </si>
  <si>
    <t>Sev PCR</t>
  </si>
  <si>
    <t>Base LCR</t>
  </si>
  <si>
    <t>Mod LCR</t>
  </si>
  <si>
    <t>Sev LCR</t>
  </si>
  <si>
    <t>GNPA Increase</t>
  </si>
  <si>
    <t>CAR Reduction</t>
  </si>
  <si>
    <t>NIM Reduction</t>
  </si>
  <si>
    <t>ROA Reduction</t>
  </si>
  <si>
    <t>ROE Reduction</t>
  </si>
  <si>
    <t>PCR Reduction</t>
  </si>
  <si>
    <t>LCR Reduction</t>
  </si>
  <si>
    <t>Dummy</t>
  </si>
  <si>
    <t>Rank</t>
  </si>
  <si>
    <t>Severe CAR</t>
  </si>
  <si>
    <t>Severe GNPA</t>
  </si>
  <si>
    <t>Vulnerability Score</t>
  </si>
  <si>
    <t>MOST RESILIENT BANK</t>
  </si>
  <si>
    <t>HIGHEST BRI SCORE</t>
  </si>
  <si>
    <t>MOST VULNERABLE</t>
  </si>
  <si>
    <t>VULNERABILITY SCORE</t>
  </si>
  <si>
    <t>INDIAN  BANKING  SECTOR  STRESS  TEST  DASHBOARD</t>
  </si>
  <si>
    <t xml:space="preserve">
• HDFC Bank ranks #1 on overall resilience.
• ICICI Bank combines strong profitability with solid capital buffers.
• SBI remains systemically important but exhibits moderate vulnerability.
• PNB shows the highest stress sensitivity due to weaker asset quality.
• Asset quality and profitability drive most resilience differences.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</si>
</sst>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Agency FB"/>
      <family val="2"/>
    </font>
    <font>
      <b/>
      <sz val="24"/>
      <color theme="0"/>
      <name val="Agency FB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 style="thin">
        <color theme="9" tint="0.39997558519241921"/>
      </right>
      <top/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 style="slantDashDot">
        <color theme="3"/>
      </bottom>
      <diagonal/>
    </border>
    <border>
      <left/>
      <right/>
      <top style="medium">
        <color theme="3"/>
      </top>
      <bottom style="slantDashDot">
        <color theme="3"/>
      </bottom>
      <diagonal/>
    </border>
    <border>
      <left/>
      <right style="medium">
        <color theme="3"/>
      </right>
      <top style="medium">
        <color theme="3"/>
      </top>
      <bottom style="slantDashDot">
        <color theme="3"/>
      </bottom>
      <diagonal/>
    </border>
    <border>
      <left style="medium">
        <color theme="3"/>
      </left>
      <right/>
      <top style="slantDashDot">
        <color theme="3"/>
      </top>
      <bottom style="slantDashDot">
        <color theme="3"/>
      </bottom>
      <diagonal/>
    </border>
    <border>
      <left/>
      <right/>
      <top style="slantDashDot">
        <color theme="3"/>
      </top>
      <bottom style="slantDashDot">
        <color theme="3"/>
      </bottom>
      <diagonal/>
    </border>
    <border>
      <left/>
      <right style="medium">
        <color theme="3"/>
      </right>
      <top style="slantDashDot">
        <color theme="3"/>
      </top>
      <bottom style="slantDashDot">
        <color theme="3"/>
      </bottom>
      <diagonal/>
    </border>
    <border>
      <left style="medium">
        <color theme="3"/>
      </left>
      <right/>
      <top style="slantDashDot">
        <color theme="3"/>
      </top>
      <bottom/>
      <diagonal/>
    </border>
    <border>
      <left/>
      <right/>
      <top style="slantDashDot">
        <color theme="3"/>
      </top>
      <bottom/>
      <diagonal/>
    </border>
    <border>
      <left/>
      <right style="medium">
        <color theme="3"/>
      </right>
      <top style="slantDashDot">
        <color theme="3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/>
      <top/>
      <bottom style="medium">
        <color theme="9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/>
      <top/>
      <bottom style="medium">
        <color theme="9"/>
      </bottom>
      <diagonal/>
    </border>
    <border>
      <left/>
      <right style="medium">
        <color theme="3" tint="-0.249977111117893"/>
      </right>
      <top/>
      <bottom style="medium">
        <color theme="9"/>
      </bottom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/>
      <right/>
      <top/>
      <bottom style="medium">
        <color theme="3" tint="-0.249977111117893"/>
      </bottom>
      <diagonal/>
    </border>
    <border>
      <left/>
      <right style="medium">
        <color theme="3" tint="-0.249977111117893"/>
      </right>
      <top/>
      <bottom style="medium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medium">
        <color theme="3" tint="-0.249977111117893"/>
      </left>
      <right style="thin">
        <color theme="3" tint="-0.249977111117893"/>
      </right>
      <top style="medium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thin">
        <color theme="3" tint="-0.249977111117893"/>
      </bottom>
      <diagonal/>
    </border>
    <border>
      <left style="medium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medium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medium">
        <color theme="3" tint="-0.249977111117893"/>
      </left>
      <right style="thin">
        <color theme="3" tint="-0.249977111117893"/>
      </right>
      <top style="thin">
        <color theme="3" tint="-0.249977111117893"/>
      </top>
      <bottom style="medium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medium">
        <color theme="3" tint="-0.249977111117893"/>
      </bottom>
      <diagonal/>
    </border>
    <border>
      <left style="thin">
        <color theme="3" tint="-0.249977111117893"/>
      </left>
      <right style="medium">
        <color theme="3" tint="-0.249977111117893"/>
      </right>
      <top style="thin">
        <color theme="3" tint="-0.249977111117893"/>
      </top>
      <bottom style="medium">
        <color theme="3" tint="-0.249977111117893"/>
      </bottom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0" borderId="0" xfId="0" applyBorder="1"/>
    <xf numFmtId="0" fontId="0" fillId="7" borderId="1" xfId="0" applyFill="1" applyBorder="1"/>
    <xf numFmtId="0" fontId="0" fillId="7" borderId="28" xfId="0" applyFill="1" applyBorder="1"/>
    <xf numFmtId="0" fontId="0" fillId="7" borderId="0" xfId="0" applyFill="1" applyBorder="1"/>
    <xf numFmtId="0" fontId="0" fillId="7" borderId="29" xfId="0" applyFill="1" applyBorder="1"/>
    <xf numFmtId="0" fontId="0" fillId="0" borderId="0" xfId="0" applyFill="1" applyBorder="1"/>
    <xf numFmtId="0" fontId="0" fillId="7" borderId="32" xfId="0" applyFill="1" applyBorder="1"/>
    <xf numFmtId="0" fontId="0" fillId="7" borderId="33" xfId="0" applyFill="1" applyBorder="1"/>
    <xf numFmtId="0" fontId="0" fillId="7" borderId="34" xfId="0" applyFill="1" applyBorder="1"/>
    <xf numFmtId="0" fontId="5" fillId="5" borderId="25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0" xfId="0"/>
    <xf numFmtId="0" fontId="0" fillId="0" borderId="29" xfId="0" applyBorder="1"/>
    <xf numFmtId="0" fontId="0" fillId="0" borderId="30" xfId="0" applyBorder="1"/>
    <xf numFmtId="0" fontId="0" fillId="0" borderId="24" xfId="0" applyBorder="1"/>
    <xf numFmtId="0" fontId="0" fillId="0" borderId="31" xfId="0" applyBorder="1"/>
    <xf numFmtId="0" fontId="2" fillId="2" borderId="16" xfId="0" applyFont="1" applyFill="1" applyBorder="1" applyAlignment="1">
      <alignment horizontal="left" vertical="center" wrapText="1" indent="2"/>
    </xf>
    <xf numFmtId="0" fontId="2" fillId="2" borderId="17" xfId="0" applyFont="1" applyFill="1" applyBorder="1" applyAlignment="1">
      <alignment horizontal="left" vertical="center" wrapText="1" indent="2"/>
    </xf>
    <xf numFmtId="0" fontId="2" fillId="2" borderId="18" xfId="0" applyFont="1" applyFill="1" applyBorder="1" applyAlignment="1">
      <alignment horizontal="left" vertical="center" wrapText="1" indent="2"/>
    </xf>
    <xf numFmtId="0" fontId="2" fillId="2" borderId="19" xfId="0" applyFont="1" applyFill="1" applyBorder="1" applyAlignment="1">
      <alignment horizontal="left" vertical="center" wrapText="1" indent="2"/>
    </xf>
    <xf numFmtId="0" fontId="2" fillId="2" borderId="0" xfId="0" applyFont="1" applyFill="1" applyBorder="1" applyAlignment="1">
      <alignment horizontal="left" vertical="center" wrapText="1" indent="2"/>
    </xf>
    <xf numFmtId="0" fontId="2" fillId="2" borderId="20" xfId="0" applyFont="1" applyFill="1" applyBorder="1" applyAlignment="1">
      <alignment horizontal="left" vertical="center" wrapText="1" indent="2"/>
    </xf>
    <xf numFmtId="0" fontId="2" fillId="2" borderId="21" xfId="0" applyFont="1" applyFill="1" applyBorder="1" applyAlignment="1">
      <alignment horizontal="left" vertical="center" wrapText="1" indent="2"/>
    </xf>
    <xf numFmtId="0" fontId="2" fillId="2" borderId="22" xfId="0" applyFont="1" applyFill="1" applyBorder="1" applyAlignment="1">
      <alignment horizontal="left" vertical="center" wrapText="1" indent="2"/>
    </xf>
    <xf numFmtId="0" fontId="2" fillId="2" borderId="23" xfId="0" applyFont="1" applyFill="1" applyBorder="1" applyAlignment="1">
      <alignment horizontal="left" vertical="center" wrapText="1" indent="2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2" fontId="4" fillId="2" borderId="13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2" fontId="4" fillId="2" borderId="15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0" xfId="0" applyAlignment="1">
      <alignment horizontal="center"/>
    </xf>
    <xf numFmtId="0" fontId="3" fillId="3" borderId="36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/>
    </xf>
    <xf numFmtId="0" fontId="0" fillId="0" borderId="40" xfId="0" applyBorder="1"/>
    <xf numFmtId="0" fontId="1" fillId="0" borderId="41" xfId="0" applyFont="1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3" fillId="4" borderId="46" xfId="0" applyFont="1" applyFill="1" applyBorder="1" applyAlignment="1">
      <alignment horizontal="center" vertical="center" wrapText="1"/>
    </xf>
    <xf numFmtId="0" fontId="3" fillId="4" borderId="47" xfId="0" applyFont="1" applyFill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3" xfId="0" applyFont="1" applyBorder="1" applyAlignment="1">
      <alignment wrapText="1"/>
    </xf>
    <xf numFmtId="9" fontId="2" fillId="0" borderId="0" xfId="0" applyNumberFormat="1" applyFont="1" applyBorder="1" applyAlignment="1">
      <alignment wrapText="1"/>
    </xf>
    <xf numFmtId="9" fontId="2" fillId="0" borderId="3" xfId="0" applyNumberFormat="1" applyFont="1" applyBorder="1" applyAlignment="1">
      <alignment wrapText="1"/>
    </xf>
    <xf numFmtId="0" fontId="2" fillId="0" borderId="4" xfId="0" applyFont="1" applyBorder="1" applyAlignment="1">
      <alignment wrapText="1"/>
    </xf>
    <xf numFmtId="9" fontId="2" fillId="0" borderId="5" xfId="0" applyNumberFormat="1" applyFont="1" applyBorder="1" applyAlignment="1">
      <alignment wrapText="1"/>
    </xf>
    <xf numFmtId="9" fontId="2" fillId="0" borderId="6" xfId="0" applyNumberFormat="1" applyFont="1" applyBorder="1" applyAlignment="1">
      <alignment wrapText="1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3" fillId="2" borderId="45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4" xfId="0" applyFont="1" applyBorder="1"/>
    <xf numFmtId="0" fontId="3" fillId="3" borderId="49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04646"/>
      <color rgb="FFFF091B"/>
      <color rgb="FFFF5353"/>
      <color rgb="FF8C944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>
                <a:latin typeface="Agency FB" pitchFamily="34" charset="0"/>
              </a:defRPr>
            </a:pPr>
            <a:r>
              <a:rPr lang="en-US">
                <a:latin typeface="Agency FB" pitchFamily="34" charset="0"/>
              </a:rPr>
              <a:t>Banking Resilience Index (BRI)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BRI_Scorecard!$G$1</c:f>
              <c:strCache>
                <c:ptCount val="1"/>
                <c:pt idx="0">
                  <c:v>BRI</c:v>
                </c:pt>
              </c:strCache>
            </c:strRef>
          </c:tx>
          <c:dPt>
            <c:idx val="1"/>
            <c:spPr>
              <a:solidFill>
                <a:schemeClr val="accent1">
                  <a:lumMod val="50000"/>
                </a:schemeClr>
              </a:solidFill>
            </c:spPr>
          </c:dPt>
          <c:dPt>
            <c:idx val="3"/>
            <c:spPr>
              <a:solidFill>
                <a:schemeClr val="tx2">
                  <a:lumMod val="75000"/>
                </a:schemeClr>
              </a:solidFill>
            </c:spPr>
          </c:dPt>
          <c:cat>
            <c:strRef>
              <c:f>BRI_Scorecard!$A$2:$A$5</c:f>
              <c:strCache>
                <c:ptCount val="4"/>
                <c:pt idx="0">
                  <c:v>SBI</c:v>
                </c:pt>
                <c:pt idx="1">
                  <c:v>PNB</c:v>
                </c:pt>
                <c:pt idx="2">
                  <c:v>HDFC</c:v>
                </c:pt>
                <c:pt idx="3">
                  <c:v>ICICI</c:v>
                </c:pt>
              </c:strCache>
            </c:strRef>
          </c:cat>
          <c:val>
            <c:numRef>
              <c:f>BRI_Scorecard!$G$2:$G$5</c:f>
              <c:numCache>
                <c:formatCode>General</c:formatCode>
                <c:ptCount val="4"/>
                <c:pt idx="0">
                  <c:v>73.078066028580338</c:v>
                </c:pt>
                <c:pt idx="1">
                  <c:v>69.707419709688907</c:v>
                </c:pt>
                <c:pt idx="2">
                  <c:v>92.83287950888365</c:v>
                </c:pt>
                <c:pt idx="3">
                  <c:v>87.018927149231075</c:v>
                </c:pt>
              </c:numCache>
            </c:numRef>
          </c:val>
        </c:ser>
        <c:gapWidth val="75"/>
        <c:overlap val="-25"/>
        <c:axId val="141814400"/>
        <c:axId val="142086528"/>
      </c:barChart>
      <c:catAx>
        <c:axId val="141814400"/>
        <c:scaling>
          <c:orientation val="minMax"/>
        </c:scaling>
        <c:axPos val="l"/>
        <c:majorTickMark val="none"/>
        <c:tickLblPos val="nextTo"/>
        <c:crossAx val="142086528"/>
        <c:crosses val="autoZero"/>
        <c:auto val="1"/>
        <c:lblAlgn val="ctr"/>
        <c:lblOffset val="100"/>
      </c:catAx>
      <c:valAx>
        <c:axId val="142086528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41814400"/>
        <c:crosses val="autoZero"/>
        <c:crossBetween val="between"/>
      </c:valAx>
      <c:spPr>
        <a:ln w="19050">
          <a:solidFill>
            <a:schemeClr val="accent1">
              <a:lumMod val="75000"/>
            </a:schemeClr>
          </a:solidFill>
          <a:bevel/>
        </a:ln>
      </c:spPr>
    </c:plotArea>
    <c:legend>
      <c:legendPos val="b"/>
      <c:layout/>
    </c:legend>
    <c:plotVisOnly val="1"/>
  </c:chart>
  <c:spPr>
    <a:solidFill>
      <a:srgbClr val="9BBB59">
        <a:lumMod val="40000"/>
        <a:lumOff val="60000"/>
      </a:srgbClr>
    </a:solidFill>
    <a:ln w="19050">
      <a:solidFill>
        <a:schemeClr val="tx2">
          <a:lumMod val="75000"/>
        </a:schemeClr>
      </a:solidFill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>
                <a:latin typeface="Agency FB" pitchFamily="34" charset="0"/>
              </a:defRPr>
            </a:pPr>
            <a:r>
              <a:rPr lang="en-US">
                <a:latin typeface="Agency FB" pitchFamily="34" charset="0"/>
              </a:rPr>
              <a:t>Stress Vulnerability Score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BRI_Scorecard!$K$1</c:f>
              <c:strCache>
                <c:ptCount val="1"/>
                <c:pt idx="0">
                  <c:v>Vulnerability Score</c:v>
                </c:pt>
              </c:strCache>
            </c:strRef>
          </c:tx>
          <c:dPt>
            <c:idx val="1"/>
            <c:spPr>
              <a:solidFill>
                <a:schemeClr val="accent1">
                  <a:lumMod val="50000"/>
                </a:schemeClr>
              </a:solidFill>
            </c:spPr>
          </c:dPt>
          <c:dPt>
            <c:idx val="3"/>
            <c:spPr>
              <a:solidFill>
                <a:schemeClr val="accent1">
                  <a:lumMod val="50000"/>
                </a:schemeClr>
              </a:solidFill>
            </c:spPr>
          </c:dPt>
          <c:cat>
            <c:strRef>
              <c:f>BRI_Scorecard!$A$2:$A$5</c:f>
              <c:strCache>
                <c:ptCount val="4"/>
                <c:pt idx="0">
                  <c:v>SBI</c:v>
                </c:pt>
                <c:pt idx="1">
                  <c:v>PNB</c:v>
                </c:pt>
                <c:pt idx="2">
                  <c:v>HDFC</c:v>
                </c:pt>
                <c:pt idx="3">
                  <c:v>ICICI</c:v>
                </c:pt>
              </c:strCache>
            </c:strRef>
          </c:cat>
          <c:val>
            <c:numRef>
              <c:f>BRI_Scorecard!$K$2:$K$5</c:f>
              <c:numCache>
                <c:formatCode>General</c:formatCode>
                <c:ptCount val="4"/>
                <c:pt idx="0">
                  <c:v>94.831460674157313</c:v>
                </c:pt>
                <c:pt idx="1">
                  <c:v>90.313225058004633</c:v>
                </c:pt>
                <c:pt idx="2">
                  <c:v>54.549688536997145</c:v>
                </c:pt>
                <c:pt idx="3">
                  <c:v>61.397704883114116</c:v>
                </c:pt>
              </c:numCache>
            </c:numRef>
          </c:val>
        </c:ser>
        <c:gapWidth val="75"/>
        <c:overlap val="-25"/>
        <c:axId val="142107776"/>
        <c:axId val="142109312"/>
      </c:barChart>
      <c:catAx>
        <c:axId val="142107776"/>
        <c:scaling>
          <c:orientation val="minMax"/>
        </c:scaling>
        <c:axPos val="l"/>
        <c:majorTickMark val="none"/>
        <c:tickLblPos val="nextTo"/>
        <c:crossAx val="142109312"/>
        <c:crosses val="autoZero"/>
        <c:auto val="1"/>
        <c:lblAlgn val="ctr"/>
        <c:lblOffset val="100"/>
      </c:catAx>
      <c:valAx>
        <c:axId val="142109312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42107776"/>
        <c:crosses val="autoZero"/>
        <c:crossBetween val="between"/>
      </c:valAx>
      <c:spPr>
        <a:ln w="19050">
          <a:solidFill>
            <a:schemeClr val="accent1">
              <a:lumMod val="75000"/>
            </a:schemeClr>
          </a:solidFill>
        </a:ln>
      </c:spPr>
    </c:plotArea>
    <c:legend>
      <c:legendPos val="b"/>
      <c:layout/>
    </c:legend>
    <c:plotVisOnly val="1"/>
  </c:chart>
  <c:spPr>
    <a:solidFill>
      <a:schemeClr val="accent3">
        <a:lumMod val="60000"/>
        <a:lumOff val="40000"/>
      </a:schemeClr>
    </a:solidFill>
    <a:ln w="19050">
      <a:solidFill>
        <a:schemeClr val="tx2">
          <a:lumMod val="75000"/>
        </a:schemeClr>
      </a:solidFill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anchor="t" anchorCtr="1"/>
          <a:lstStyle/>
          <a:p>
            <a:pPr>
              <a:defRPr sz="1400" b="1">
                <a:latin typeface="Agency FB" pitchFamily="34" charset="0"/>
              </a:defRPr>
            </a:pPr>
            <a:r>
              <a:rPr lang="en-US" sz="1400" b="1">
                <a:latin typeface="Agency FB" pitchFamily="34" charset="0"/>
              </a:rPr>
              <a:t>Resilience Profile Comparison</a:t>
            </a:r>
          </a:p>
        </c:rich>
      </c:tx>
      <c:layout>
        <c:manualLayout>
          <c:xMode val="edge"/>
          <c:yMode val="edge"/>
          <c:x val="0.12254542119657176"/>
          <c:y val="2.309750317742975E-2"/>
        </c:manualLayout>
      </c:layout>
    </c:title>
    <c:plotArea>
      <c:layout>
        <c:manualLayout>
          <c:layoutTarget val="inner"/>
          <c:xMode val="edge"/>
          <c:yMode val="edge"/>
          <c:x val="0.25374505735850472"/>
          <c:y val="0.28781614213502149"/>
          <c:w val="0.45255324857731727"/>
          <c:h val="0.48296074679952239"/>
        </c:manualLayout>
      </c:layout>
      <c:radarChart>
        <c:radarStyle val="marker"/>
        <c:ser>
          <c:idx val="0"/>
          <c:order val="0"/>
          <c:tx>
            <c:strRef>
              <c:f>BRI_Scorecard!$A$2</c:f>
              <c:strCache>
                <c:ptCount val="1"/>
                <c:pt idx="0">
                  <c:v>SBI</c:v>
                </c:pt>
              </c:strCache>
            </c:strRef>
          </c:tx>
          <c:marker>
            <c:symbol val="none"/>
          </c:marker>
          <c:cat>
            <c:strRef>
              <c:f>BRI_Scorecard!$B$1:$F$1</c:f>
              <c:strCache>
                <c:ptCount val="5"/>
                <c:pt idx="0">
                  <c:v>Capital Score</c:v>
                </c:pt>
                <c:pt idx="1">
                  <c:v>Asset Score</c:v>
                </c:pt>
                <c:pt idx="2">
                  <c:v>Profitability Score</c:v>
                </c:pt>
                <c:pt idx="3">
                  <c:v>Liquidity Score</c:v>
                </c:pt>
                <c:pt idx="4">
                  <c:v>Risk Score</c:v>
                </c:pt>
              </c:strCache>
            </c:strRef>
          </c:cat>
          <c:val>
            <c:numRef>
              <c:f>BRI_Scorecard!$B$2:$F$2</c:f>
              <c:numCache>
                <c:formatCode>General</c:formatCode>
                <c:ptCount val="5"/>
                <c:pt idx="0">
                  <c:v>78.172588832487307</c:v>
                </c:pt>
                <c:pt idx="1">
                  <c:v>77.181208053691279</c:v>
                </c:pt>
                <c:pt idx="2">
                  <c:v>50</c:v>
                </c:pt>
                <c:pt idx="3">
                  <c:v>84.507042253521121</c:v>
                </c:pt>
                <c:pt idx="4">
                  <c:v>76.54931027383158</c:v>
                </c:pt>
              </c:numCache>
            </c:numRef>
          </c:val>
        </c:ser>
        <c:ser>
          <c:idx val="1"/>
          <c:order val="1"/>
          <c:tx>
            <c:strRef>
              <c:f>BRI_Scorecard!$A$3</c:f>
              <c:strCache>
                <c:ptCount val="1"/>
                <c:pt idx="0">
                  <c:v>PNB</c:v>
                </c:pt>
              </c:strCache>
            </c:strRef>
          </c:tx>
          <c:marker>
            <c:symbol val="none"/>
          </c:marker>
          <c:cat>
            <c:strRef>
              <c:f>BRI_Scorecard!$B$1:$F$1</c:f>
              <c:strCache>
                <c:ptCount val="5"/>
                <c:pt idx="0">
                  <c:v>Capital Score</c:v>
                </c:pt>
                <c:pt idx="1">
                  <c:v>Asset Score</c:v>
                </c:pt>
                <c:pt idx="2">
                  <c:v>Profitability Score</c:v>
                </c:pt>
                <c:pt idx="3">
                  <c:v>Liquidity Score</c:v>
                </c:pt>
                <c:pt idx="4">
                  <c:v>Risk Score</c:v>
                </c:pt>
              </c:strCache>
            </c:strRef>
          </c:cat>
          <c:val>
            <c:numRef>
              <c:f>BRI_Scorecard!$B$3:$F$3</c:f>
              <c:numCache>
                <c:formatCode>General</c:formatCode>
                <c:ptCount val="5"/>
                <c:pt idx="0">
                  <c:v>90.050761421319791</c:v>
                </c:pt>
                <c:pt idx="1">
                  <c:v>38.983050847457626</c:v>
                </c:pt>
                <c:pt idx="2">
                  <c:v>39.732142857142854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</c:ser>
        <c:ser>
          <c:idx val="2"/>
          <c:order val="2"/>
          <c:tx>
            <c:strRef>
              <c:f>BRI_Scorecard!$A$4</c:f>
              <c:strCache>
                <c:ptCount val="1"/>
                <c:pt idx="0">
                  <c:v>HDFC</c:v>
                </c:pt>
              </c:strCache>
            </c:strRef>
          </c:tx>
          <c:marker>
            <c:symbol val="none"/>
          </c:marker>
          <c:cat>
            <c:strRef>
              <c:f>BRI_Scorecard!$B$1:$F$1</c:f>
              <c:strCache>
                <c:ptCount val="5"/>
                <c:pt idx="0">
                  <c:v>Capital Score</c:v>
                </c:pt>
                <c:pt idx="1">
                  <c:v>Asset Score</c:v>
                </c:pt>
                <c:pt idx="2">
                  <c:v>Profitability Score</c:v>
                </c:pt>
                <c:pt idx="3">
                  <c:v>Liquidity Score</c:v>
                </c:pt>
                <c:pt idx="4">
                  <c:v>Risk Score</c:v>
                </c:pt>
              </c:strCache>
            </c:strRef>
          </c:cat>
          <c:val>
            <c:numRef>
              <c:f>BRI_Scorecard!$B$4:$F$4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87.499999999999986</c:v>
                </c:pt>
                <c:pt idx="3">
                  <c:v>86.619718309859152</c:v>
                </c:pt>
                <c:pt idx="4">
                  <c:v>73.399217624047765</c:v>
                </c:pt>
              </c:numCache>
            </c:numRef>
          </c:val>
        </c:ser>
        <c:ser>
          <c:idx val="3"/>
          <c:order val="3"/>
          <c:tx>
            <c:strRef>
              <c:f>BRI_Scorecard!$A$5</c:f>
              <c:strCache>
                <c:ptCount val="1"/>
                <c:pt idx="0">
                  <c:v>ICICI</c:v>
                </c:pt>
              </c:strCache>
            </c:strRef>
          </c:tx>
          <c:marker>
            <c:symbol val="none"/>
          </c:marker>
          <c:cat>
            <c:strRef>
              <c:f>BRI_Scorecard!$B$1:$F$1</c:f>
              <c:strCache>
                <c:ptCount val="5"/>
                <c:pt idx="0">
                  <c:v>Capital Score</c:v>
                </c:pt>
                <c:pt idx="1">
                  <c:v>Asset Score</c:v>
                </c:pt>
                <c:pt idx="2">
                  <c:v>Profitability Score</c:v>
                </c:pt>
                <c:pt idx="3">
                  <c:v>Liquidity Score</c:v>
                </c:pt>
                <c:pt idx="4">
                  <c:v>Risk Score</c:v>
                </c:pt>
              </c:strCache>
            </c:strRef>
          </c:cat>
          <c:val>
            <c:numRef>
              <c:f>BRI_Scorecard!$B$5:$F$5</c:f>
              <c:numCache>
                <c:formatCode>General</c:formatCode>
                <c:ptCount val="5"/>
                <c:pt idx="0">
                  <c:v>87.208121827411162</c:v>
                </c:pt>
                <c:pt idx="1">
                  <c:v>82.142857142857139</c:v>
                </c:pt>
                <c:pt idx="2">
                  <c:v>100</c:v>
                </c:pt>
                <c:pt idx="3">
                  <c:v>83.450704225352112</c:v>
                </c:pt>
                <c:pt idx="4">
                  <c:v>78.031706814906315</c:v>
                </c:pt>
              </c:numCache>
            </c:numRef>
          </c:val>
        </c:ser>
        <c:axId val="142423936"/>
        <c:axId val="142425472"/>
      </c:radarChart>
      <c:catAx>
        <c:axId val="142423936"/>
        <c:scaling>
          <c:orientation val="minMax"/>
        </c:scaling>
        <c:axPos val="b"/>
        <c:majorGridlines/>
        <c:majorTickMark val="none"/>
        <c:tickLblPos val="nextTo"/>
        <c:spPr>
          <a:ln w="9525">
            <a:noFill/>
          </a:ln>
        </c:spPr>
        <c:crossAx val="142425472"/>
        <c:crosses val="autoZero"/>
        <c:auto val="1"/>
        <c:lblAlgn val="ctr"/>
        <c:lblOffset val="100"/>
      </c:catAx>
      <c:valAx>
        <c:axId val="14242547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42423936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</c:spPr>
    </c:plotArea>
    <c:legend>
      <c:legendPos val="r"/>
      <c:layout>
        <c:manualLayout>
          <c:xMode val="edge"/>
          <c:yMode val="edge"/>
          <c:x val="5.1047324626717509E-2"/>
          <c:y val="0.85722167293707774"/>
          <c:w val="0.89801724825967277"/>
          <c:h val="9.4211105261580996E-2"/>
        </c:manualLayout>
      </c:layout>
      <c:txPr>
        <a:bodyPr/>
        <a:lstStyle/>
        <a:p>
          <a:pPr>
            <a:defRPr sz="800"/>
          </a:pPr>
          <a:endParaRPr lang="en-US"/>
        </a:p>
      </c:txPr>
    </c:legend>
    <c:plotVisOnly val="1"/>
  </c:chart>
  <c:spPr>
    <a:solidFill>
      <a:schemeClr val="accent3">
        <a:lumMod val="40000"/>
        <a:lumOff val="60000"/>
      </a:schemeClr>
    </a:solidFill>
    <a:ln w="19050">
      <a:solidFill>
        <a:schemeClr val="accent1">
          <a:lumMod val="50000"/>
        </a:schemeClr>
      </a:solidFill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353196</xdr:colOff>
      <xdr:row>18</xdr:row>
      <xdr:rowOff>2368</xdr:rowOff>
    </xdr:from>
    <xdr:ext cx="1815353" cy="365678"/>
    <xdr:sp macro="" textlink="">
      <xdr:nvSpPr>
        <xdr:cNvPr id="6" name="TextBox 5"/>
        <xdr:cNvSpPr txBox="1"/>
      </xdr:nvSpPr>
      <xdr:spPr>
        <a:xfrm>
          <a:off x="7708153" y="3712977"/>
          <a:ext cx="1815353" cy="3656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r>
            <a:rPr lang="en-US" sz="1700" b="1">
              <a:latin typeface="Agency FB" pitchFamily="34" charset="0"/>
            </a:rPr>
            <a:t>KEY INSIGHTS</a:t>
          </a:r>
        </a:p>
      </xdr:txBody>
    </xdr:sp>
    <xdr:clientData/>
  </xdr:oneCellAnchor>
  <xdr:twoCellAnchor>
    <xdr:from>
      <xdr:col>5</xdr:col>
      <xdr:colOff>3</xdr:colOff>
      <xdr:row>4</xdr:row>
      <xdr:rowOff>0</xdr:rowOff>
    </xdr:from>
    <xdr:to>
      <xdr:col>11</xdr:col>
      <xdr:colOff>0</xdr:colOff>
      <xdr:row>16</xdr:row>
      <xdr:rowOff>190499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</xdr:colOff>
      <xdr:row>4</xdr:row>
      <xdr:rowOff>0</xdr:rowOff>
    </xdr:from>
    <xdr:to>
      <xdr:col>18</xdr:col>
      <xdr:colOff>24848</xdr:colOff>
      <xdr:row>17</xdr:row>
      <xdr:rowOff>8283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1463</xdr:colOff>
      <xdr:row>18</xdr:row>
      <xdr:rowOff>3</xdr:rowOff>
    </xdr:from>
    <xdr:to>
      <xdr:col>9</xdr:col>
      <xdr:colOff>65941</xdr:colOff>
      <xdr:row>30</xdr:row>
      <xdr:rowOff>14654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18</xdr:col>
      <xdr:colOff>208067</xdr:colOff>
      <xdr:row>5</xdr:row>
      <xdr:rowOff>133353</xdr:rowOff>
    </xdr:from>
    <xdr:ext cx="256737" cy="5000625"/>
    <xdr:sp macro="" textlink="">
      <xdr:nvSpPr>
        <xdr:cNvPr id="14" name="TextBox 13"/>
        <xdr:cNvSpPr txBox="1"/>
      </xdr:nvSpPr>
      <xdr:spPr>
        <a:xfrm rot="5400000">
          <a:off x="8808923" y="3495897"/>
          <a:ext cx="5000625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000" b="1">
              <a:solidFill>
                <a:schemeClr val="tx2"/>
              </a:solidFill>
            </a:rPr>
            <a:t>Source:</a:t>
          </a:r>
          <a:r>
            <a:rPr lang="en-US" sz="1000" b="1" baseline="0">
              <a:solidFill>
                <a:schemeClr val="tx2"/>
              </a:solidFill>
            </a:rPr>
            <a:t> </a:t>
          </a:r>
          <a:r>
            <a:rPr lang="en-US" sz="1000" b="0" i="1">
              <a:solidFill>
                <a:schemeClr val="tx2"/>
              </a:solidFill>
            </a:rPr>
            <a:t>FY2025-26 Annual Reports, </a:t>
          </a:r>
          <a:r>
            <a:rPr lang="en-US" sz="1050" b="0" i="1">
              <a:solidFill>
                <a:schemeClr val="tx2"/>
              </a:solidFill>
            </a:rPr>
            <a:t>Investor</a:t>
          </a:r>
          <a:r>
            <a:rPr lang="en-US" sz="1000" b="0" i="1">
              <a:solidFill>
                <a:schemeClr val="tx2"/>
              </a:solidFill>
            </a:rPr>
            <a:t> Presentations,</a:t>
          </a:r>
          <a:r>
            <a:rPr lang="en-US" sz="1000" b="0" i="1" baseline="0">
              <a:solidFill>
                <a:schemeClr val="tx2"/>
              </a:solidFill>
            </a:rPr>
            <a:t> </a:t>
          </a:r>
          <a:r>
            <a:rPr lang="en-US" sz="1000" b="0" i="1">
              <a:solidFill>
                <a:schemeClr val="tx2"/>
              </a:solidFill>
            </a:rPr>
            <a:t>Bank Disclosures, RBI Data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selection activeCell="C11" sqref="C11"/>
    </sheetView>
  </sheetViews>
  <sheetFormatPr defaultRowHeight="15"/>
  <cols>
    <col min="1" max="8" width="10.7109375" customWidth="1"/>
    <col min="9" max="9" width="15.42578125" bestFit="1" customWidth="1"/>
  </cols>
  <sheetData>
    <row r="1" spans="1:9" ht="15.75">
      <c r="A1" s="83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5" t="s">
        <v>15</v>
      </c>
    </row>
    <row r="2" spans="1:9" ht="15.75">
      <c r="A2" s="90" t="s">
        <v>11</v>
      </c>
      <c r="B2" s="86">
        <v>1.49</v>
      </c>
      <c r="C2" s="86">
        <v>0.39</v>
      </c>
      <c r="D2" s="86">
        <v>74.36</v>
      </c>
      <c r="E2" s="86">
        <v>15.4</v>
      </c>
      <c r="F2" s="86">
        <v>2.91</v>
      </c>
      <c r="G2" s="86">
        <v>1.1200000000000001</v>
      </c>
      <c r="H2" s="86">
        <v>18.57</v>
      </c>
      <c r="I2" s="87">
        <v>120</v>
      </c>
    </row>
    <row r="3" spans="1:9" ht="15.75">
      <c r="A3" s="90" t="s">
        <v>12</v>
      </c>
      <c r="B3" s="86">
        <v>2.95</v>
      </c>
      <c r="C3" s="86">
        <v>0.28999999999999998</v>
      </c>
      <c r="D3" s="86">
        <v>97.14</v>
      </c>
      <c r="E3" s="86">
        <v>17.739999999999998</v>
      </c>
      <c r="F3" s="86">
        <v>3.01</v>
      </c>
      <c r="G3" s="86">
        <v>0.89</v>
      </c>
      <c r="H3" s="86">
        <v>15.67</v>
      </c>
      <c r="I3" s="87">
        <v>142</v>
      </c>
    </row>
    <row r="4" spans="1:9" ht="15.75">
      <c r="A4" s="90" t="s">
        <v>13</v>
      </c>
      <c r="B4" s="86">
        <v>1.1499999999999999</v>
      </c>
      <c r="C4" s="86">
        <v>0.33</v>
      </c>
      <c r="D4" s="86">
        <v>71.3</v>
      </c>
      <c r="E4" s="86">
        <v>19.7</v>
      </c>
      <c r="F4" s="86">
        <v>3.38</v>
      </c>
      <c r="G4" s="86">
        <v>1.96</v>
      </c>
      <c r="H4" s="86">
        <v>14.1</v>
      </c>
      <c r="I4" s="87">
        <v>123</v>
      </c>
    </row>
    <row r="5" spans="1:9" ht="16.5" thickBot="1">
      <c r="A5" s="91" t="s">
        <v>14</v>
      </c>
      <c r="B5" s="88">
        <v>1.4</v>
      </c>
      <c r="C5" s="88">
        <v>0.33</v>
      </c>
      <c r="D5" s="88">
        <v>75.8</v>
      </c>
      <c r="E5" s="88">
        <v>17.18</v>
      </c>
      <c r="F5" s="88">
        <v>4.32</v>
      </c>
      <c r="G5" s="88">
        <v>2.2400000000000002</v>
      </c>
      <c r="H5" s="88">
        <v>17.850000000000001</v>
      </c>
      <c r="I5" s="89">
        <v>118.5</v>
      </c>
    </row>
  </sheetData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zoomScale="85" zoomScaleNormal="85" workbookViewId="0">
      <selection activeCell="A2" sqref="A2:A5"/>
    </sheetView>
  </sheetViews>
  <sheetFormatPr defaultRowHeight="15"/>
  <cols>
    <col min="1" max="16" width="10.7109375" customWidth="1"/>
  </cols>
  <sheetData>
    <row r="1" spans="1:22" ht="31.5">
      <c r="A1" s="80" t="s">
        <v>0</v>
      </c>
      <c r="B1" s="80" t="s">
        <v>22</v>
      </c>
      <c r="C1" s="80" t="s">
        <v>23</v>
      </c>
      <c r="D1" s="80" t="s">
        <v>24</v>
      </c>
      <c r="E1" s="80" t="s">
        <v>25</v>
      </c>
      <c r="F1" s="80" t="s">
        <v>26</v>
      </c>
      <c r="G1" s="80" t="s">
        <v>27</v>
      </c>
      <c r="H1" s="80" t="s">
        <v>28</v>
      </c>
      <c r="I1" s="80" t="s">
        <v>29</v>
      </c>
      <c r="J1" s="80" t="s">
        <v>30</v>
      </c>
      <c r="K1" s="80" t="s">
        <v>31</v>
      </c>
      <c r="L1" s="80" t="s">
        <v>32</v>
      </c>
      <c r="M1" s="80" t="s">
        <v>33</v>
      </c>
      <c r="N1" s="80" t="s">
        <v>34</v>
      </c>
      <c r="O1" s="80" t="s">
        <v>35</v>
      </c>
      <c r="P1" s="80" t="s">
        <v>36</v>
      </c>
      <c r="Q1" s="80" t="s">
        <v>37</v>
      </c>
      <c r="R1" s="80" t="s">
        <v>38</v>
      </c>
      <c r="S1" s="80" t="s">
        <v>39</v>
      </c>
      <c r="T1" s="80" t="s">
        <v>40</v>
      </c>
      <c r="U1" s="80" t="s">
        <v>41</v>
      </c>
      <c r="V1" s="80" t="s">
        <v>42</v>
      </c>
    </row>
    <row r="2" spans="1:22">
      <c r="A2" s="81" t="str">
        <f>Raw_Data!A2</f>
        <v>SBI</v>
      </c>
      <c r="B2" s="4">
        <f>Raw_Data!B2</f>
        <v>1.49</v>
      </c>
      <c r="C2" s="4">
        <f>B2+Stress_Assumptions!B2</f>
        <v>2.4900000000000002</v>
      </c>
      <c r="D2" s="4">
        <f>B2+Stress_Assumptions!C2</f>
        <v>3.99</v>
      </c>
      <c r="E2" s="4">
        <f>Raw_Data!E2</f>
        <v>15.4</v>
      </c>
      <c r="F2" s="4">
        <f>E2-Stress_Assumptions!B3</f>
        <v>14.9</v>
      </c>
      <c r="G2" s="4">
        <f>E2-Stress_Assumptions!C3</f>
        <v>13.9</v>
      </c>
      <c r="H2" s="4">
        <f>Raw_Data!F2</f>
        <v>2.91</v>
      </c>
      <c r="I2" s="4">
        <f>H2-Stress_Assumptions!B4</f>
        <v>2.71</v>
      </c>
      <c r="J2" s="4">
        <f>H2-Stress_Assumptions!C4</f>
        <v>2.41</v>
      </c>
      <c r="K2" s="4">
        <f>Raw_Data!G2</f>
        <v>1.1200000000000001</v>
      </c>
      <c r="L2" s="4">
        <f>K2*(1-Stress_Assumptions!B5)</f>
        <v>0.95200000000000007</v>
      </c>
      <c r="M2" s="4">
        <f>K2*(1-Stress_Assumptions!C5)</f>
        <v>0.67200000000000004</v>
      </c>
      <c r="N2" s="4">
        <f>Raw_Data!H2</f>
        <v>18.57</v>
      </c>
      <c r="O2" s="4">
        <f>N2*(1-Stress_Assumptions!B6)</f>
        <v>16.713000000000001</v>
      </c>
      <c r="P2" s="4">
        <f>N2*(1-Stress_Assumptions!C6)</f>
        <v>12.998999999999999</v>
      </c>
      <c r="Q2" s="4">
        <f>Raw_Data!D2</f>
        <v>74.36</v>
      </c>
      <c r="R2" s="4">
        <f>Q2*(1-Stress_Assumptions!B7)</f>
        <v>70.641999999999996</v>
      </c>
      <c r="S2" s="4">
        <f>Q2*(1-Stress_Assumptions!C7)</f>
        <v>63.205999999999996</v>
      </c>
      <c r="T2" s="4">
        <f>Raw_Data!I2</f>
        <v>120</v>
      </c>
      <c r="U2" s="4">
        <f>T2*(1-Stress_Assumptions!B8)</f>
        <v>114</v>
      </c>
      <c r="V2" s="77">
        <f>T2*(1-Stress_Assumptions!C8)</f>
        <v>102</v>
      </c>
    </row>
    <row r="3" spans="1:22">
      <c r="A3" s="81" t="str">
        <f>Raw_Data!A3</f>
        <v>PNB</v>
      </c>
      <c r="B3" s="4">
        <f>Raw_Data!B3</f>
        <v>2.95</v>
      </c>
      <c r="C3" s="4">
        <f>B3+Stress_Assumptions!B3</f>
        <v>3.45</v>
      </c>
      <c r="D3" s="4">
        <f>B3+Stress_Assumptions!C3</f>
        <v>4.45</v>
      </c>
      <c r="E3" s="4">
        <f>Raw_Data!E3</f>
        <v>17.739999999999998</v>
      </c>
      <c r="F3" s="4">
        <f>E3-Stress_Assumptions!B4</f>
        <v>17.54</v>
      </c>
      <c r="G3" s="4">
        <f>E3-Stress_Assumptions!C4</f>
        <v>17.239999999999998</v>
      </c>
      <c r="H3" s="4">
        <f>Raw_Data!F3</f>
        <v>3.01</v>
      </c>
      <c r="I3" s="4">
        <f>H3-Stress_Assumptions!B5</f>
        <v>2.86</v>
      </c>
      <c r="J3" s="4">
        <f>H3-Stress_Assumptions!C5</f>
        <v>2.61</v>
      </c>
      <c r="K3" s="4">
        <f>Raw_Data!G3</f>
        <v>0.89</v>
      </c>
      <c r="L3" s="4">
        <f>K3*(1-Stress_Assumptions!B6)</f>
        <v>0.80100000000000005</v>
      </c>
      <c r="M3" s="4">
        <f>K3*(1-Stress_Assumptions!C6)</f>
        <v>0.623</v>
      </c>
      <c r="N3" s="4">
        <f>Raw_Data!H3</f>
        <v>15.67</v>
      </c>
      <c r="O3" s="4">
        <f>N3*(1-Stress_Assumptions!B7)</f>
        <v>14.8865</v>
      </c>
      <c r="P3" s="4">
        <f>N3*(1-Stress_Assumptions!C7)</f>
        <v>13.3195</v>
      </c>
      <c r="Q3" s="4">
        <f>Raw_Data!D3</f>
        <v>97.14</v>
      </c>
      <c r="R3" s="4">
        <f>Q3*(1-Stress_Assumptions!B8)</f>
        <v>92.283000000000001</v>
      </c>
      <c r="S3" s="4">
        <f>Q3*(1-Stress_Assumptions!C8)</f>
        <v>82.569000000000003</v>
      </c>
      <c r="T3" s="4">
        <f>Raw_Data!I3</f>
        <v>142</v>
      </c>
      <c r="U3" s="4">
        <f>T3*(1-Stress_Assumptions!B9)</f>
        <v>142</v>
      </c>
      <c r="V3" s="77">
        <f>T3*(1-Stress_Assumptions!C9)</f>
        <v>142</v>
      </c>
    </row>
    <row r="4" spans="1:22">
      <c r="A4" s="81" t="str">
        <f>Raw_Data!A4</f>
        <v>HDFC</v>
      </c>
      <c r="B4" s="4">
        <f>Raw_Data!B4</f>
        <v>1.1499999999999999</v>
      </c>
      <c r="C4" s="4">
        <f>B4+Stress_Assumptions!B4</f>
        <v>1.3499999999999999</v>
      </c>
      <c r="D4" s="4">
        <f>B4+Stress_Assumptions!C4</f>
        <v>1.65</v>
      </c>
      <c r="E4" s="4">
        <f>Raw_Data!E4</f>
        <v>19.7</v>
      </c>
      <c r="F4" s="4">
        <f>E4-Stress_Assumptions!B5</f>
        <v>19.55</v>
      </c>
      <c r="G4" s="4">
        <f>E4-Stress_Assumptions!C5</f>
        <v>19.3</v>
      </c>
      <c r="H4" s="4">
        <f>Raw_Data!F4</f>
        <v>3.38</v>
      </c>
      <c r="I4" s="4">
        <f>H4-Stress_Assumptions!B6</f>
        <v>3.28</v>
      </c>
      <c r="J4" s="4">
        <f>H4-Stress_Assumptions!C6</f>
        <v>3.08</v>
      </c>
      <c r="K4" s="4">
        <f>Raw_Data!G4</f>
        <v>1.96</v>
      </c>
      <c r="L4" s="4">
        <f>K4*(1-Stress_Assumptions!B7)</f>
        <v>1.8619999999999999</v>
      </c>
      <c r="M4" s="4">
        <f>K4*(1-Stress_Assumptions!C7)</f>
        <v>1.6659999999999999</v>
      </c>
      <c r="N4" s="4">
        <f>Raw_Data!H4</f>
        <v>14.1</v>
      </c>
      <c r="O4" s="4">
        <f>N4*(1-Stress_Assumptions!B8)</f>
        <v>13.395</v>
      </c>
      <c r="P4" s="4">
        <f>N4*(1-Stress_Assumptions!C8)</f>
        <v>11.984999999999999</v>
      </c>
      <c r="Q4" s="4">
        <f>Raw_Data!D4</f>
        <v>71.3</v>
      </c>
      <c r="R4" s="4">
        <f>Q4*(1-Stress_Assumptions!B9)</f>
        <v>71.3</v>
      </c>
      <c r="S4" s="4">
        <f>Q4*(1-Stress_Assumptions!C9)</f>
        <v>71.3</v>
      </c>
      <c r="T4" s="4">
        <f>Raw_Data!I4</f>
        <v>123</v>
      </c>
      <c r="U4" s="4">
        <f>T4*(1-Stress_Assumptions!B10)</f>
        <v>116.85</v>
      </c>
      <c r="V4" s="77">
        <f>T4*(1-Stress_Assumptions!C10)</f>
        <v>104.55</v>
      </c>
    </row>
    <row r="5" spans="1:22" ht="15.75" thickBot="1">
      <c r="A5" s="82" t="str">
        <f>Raw_Data!A5</f>
        <v>ICICI</v>
      </c>
      <c r="B5" s="78">
        <f>Raw_Data!B5</f>
        <v>1.4</v>
      </c>
      <c r="C5" s="78">
        <f>B5+Stress_Assumptions!B5</f>
        <v>1.5499999999999998</v>
      </c>
      <c r="D5" s="78">
        <f>B5+Stress_Assumptions!C5</f>
        <v>1.7999999999999998</v>
      </c>
      <c r="E5" s="78">
        <f>Raw_Data!E5</f>
        <v>17.18</v>
      </c>
      <c r="F5" s="78">
        <f>E5-Stress_Assumptions!B6</f>
        <v>17.079999999999998</v>
      </c>
      <c r="G5" s="78">
        <f>E5-Stress_Assumptions!C6</f>
        <v>16.88</v>
      </c>
      <c r="H5" s="78">
        <f>Raw_Data!F5</f>
        <v>4.32</v>
      </c>
      <c r="I5" s="78">
        <f>H5-Stress_Assumptions!B7</f>
        <v>4.2700000000000005</v>
      </c>
      <c r="J5" s="78">
        <f>H5-Stress_Assumptions!C7</f>
        <v>4.17</v>
      </c>
      <c r="K5" s="78">
        <f>Raw_Data!G5</f>
        <v>2.2400000000000002</v>
      </c>
      <c r="L5" s="78">
        <f>K5*(1-Stress_Assumptions!B8)</f>
        <v>2.1280000000000001</v>
      </c>
      <c r="M5" s="78">
        <f>K5*(1-Stress_Assumptions!C8)</f>
        <v>1.9040000000000001</v>
      </c>
      <c r="N5" s="78">
        <f>Raw_Data!H5</f>
        <v>17.850000000000001</v>
      </c>
      <c r="O5" s="78">
        <f>N5*(1-Stress_Assumptions!B9)</f>
        <v>17.850000000000001</v>
      </c>
      <c r="P5" s="78">
        <f>N5*(1-Stress_Assumptions!C9)</f>
        <v>17.850000000000001</v>
      </c>
      <c r="Q5" s="78">
        <f>Raw_Data!D5</f>
        <v>75.8</v>
      </c>
      <c r="R5" s="78">
        <f>Q5*(1-Stress_Assumptions!B10)</f>
        <v>72.009999999999991</v>
      </c>
      <c r="S5" s="78">
        <f>Q5*(1-Stress_Assumptions!C10)</f>
        <v>64.429999999999993</v>
      </c>
      <c r="T5" s="78">
        <f>Raw_Data!I5</f>
        <v>118.5</v>
      </c>
      <c r="U5" s="78">
        <f>T5*(1-Stress_Assumptions!B11)</f>
        <v>118.5</v>
      </c>
      <c r="V5" s="79">
        <f>T5*(1-Stress_Assumptions!C11)</f>
        <v>118.5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B12" sqref="B12"/>
    </sheetView>
  </sheetViews>
  <sheetFormatPr defaultRowHeight="15"/>
  <cols>
    <col min="1" max="1" width="22.7109375" customWidth="1"/>
    <col min="2" max="2" width="14.42578125" customWidth="1"/>
    <col min="3" max="3" width="14.28515625" customWidth="1"/>
    <col min="4" max="4" width="9.140625" customWidth="1"/>
  </cols>
  <sheetData>
    <row r="1" spans="1:4" ht="31.5">
      <c r="A1" s="66" t="s">
        <v>8</v>
      </c>
      <c r="B1" s="67" t="s">
        <v>9</v>
      </c>
      <c r="C1" s="68" t="s">
        <v>10</v>
      </c>
    </row>
    <row r="2" spans="1:4" ht="15.75">
      <c r="A2" s="69" t="s">
        <v>43</v>
      </c>
      <c r="B2" s="70">
        <v>1</v>
      </c>
      <c r="C2" s="71">
        <v>2.5</v>
      </c>
    </row>
    <row r="3" spans="1:4" ht="15.75">
      <c r="A3" s="69" t="s">
        <v>44</v>
      </c>
      <c r="B3" s="70">
        <v>0.5</v>
      </c>
      <c r="C3" s="71">
        <v>1.5</v>
      </c>
    </row>
    <row r="4" spans="1:4" ht="15.75">
      <c r="A4" s="69" t="s">
        <v>45</v>
      </c>
      <c r="B4" s="70">
        <v>0.2</v>
      </c>
      <c r="C4" s="71">
        <v>0.5</v>
      </c>
    </row>
    <row r="5" spans="1:4" ht="15.75">
      <c r="A5" s="69" t="s">
        <v>46</v>
      </c>
      <c r="B5" s="72">
        <v>0.15</v>
      </c>
      <c r="C5" s="73">
        <v>0.4</v>
      </c>
    </row>
    <row r="6" spans="1:4" ht="15.75">
      <c r="A6" s="69" t="s">
        <v>47</v>
      </c>
      <c r="B6" s="72">
        <v>0.1</v>
      </c>
      <c r="C6" s="73">
        <v>0.3</v>
      </c>
    </row>
    <row r="7" spans="1:4" ht="15.75">
      <c r="A7" s="69" t="s">
        <v>48</v>
      </c>
      <c r="B7" s="72">
        <v>0.05</v>
      </c>
      <c r="C7" s="73">
        <v>0.15</v>
      </c>
    </row>
    <row r="8" spans="1:4" ht="15.75">
      <c r="A8" s="69" t="s">
        <v>49</v>
      </c>
      <c r="B8" s="72">
        <v>0.05</v>
      </c>
      <c r="C8" s="73">
        <v>0.15</v>
      </c>
    </row>
    <row r="9" spans="1:4" ht="15.75">
      <c r="A9" s="69" t="s">
        <v>50</v>
      </c>
      <c r="B9" s="70">
        <v>0</v>
      </c>
      <c r="C9" s="71">
        <v>0</v>
      </c>
    </row>
    <row r="10" spans="1:4" ht="16.5" thickBot="1">
      <c r="A10" s="74" t="s">
        <v>50</v>
      </c>
      <c r="B10" s="75">
        <v>0.05</v>
      </c>
      <c r="C10" s="76">
        <v>0.15</v>
      </c>
    </row>
    <row r="11" spans="1:4">
      <c r="A11" s="1"/>
      <c r="B11" s="1"/>
      <c r="C11" s="1"/>
      <c r="D11" s="1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3"/>
      <c r="D15" s="3"/>
    </row>
    <row r="16" spans="1:4">
      <c r="A16" s="2"/>
      <c r="B16" s="2"/>
      <c r="C16" s="3"/>
      <c r="D16" s="3"/>
    </row>
    <row r="17" spans="1:7">
      <c r="A17" s="2"/>
      <c r="B17" s="2"/>
      <c r="C17" s="3"/>
      <c r="D17" s="3"/>
    </row>
    <row r="18" spans="1:7">
      <c r="A18" s="2"/>
      <c r="B18" s="2"/>
      <c r="C18" s="3"/>
      <c r="D18" s="3"/>
    </row>
    <row r="19" spans="1:7">
      <c r="A19" s="2"/>
      <c r="B19" s="2"/>
      <c r="C19" s="2"/>
      <c r="D19" s="2"/>
      <c r="G19" s="65"/>
    </row>
    <row r="20" spans="1:7">
      <c r="A20" s="2"/>
      <c r="B20" s="2"/>
      <c r="C20" s="3"/>
      <c r="D20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zoomScale="115" zoomScaleNormal="115" workbookViewId="0">
      <selection activeCell="B8" sqref="B8"/>
    </sheetView>
  </sheetViews>
  <sheetFormatPr defaultRowHeight="15"/>
  <cols>
    <col min="1" max="1" width="12.140625" style="56" customWidth="1"/>
    <col min="2" max="7" width="13.7109375" customWidth="1"/>
    <col min="8" max="8" width="6.140625" customWidth="1"/>
    <col min="11" max="11" width="14.7109375" customWidth="1"/>
  </cols>
  <sheetData>
    <row r="1" spans="1:12" ht="31.5">
      <c r="A1" s="57" t="s">
        <v>0</v>
      </c>
      <c r="B1" s="58" t="s">
        <v>16</v>
      </c>
      <c r="C1" s="58" t="s">
        <v>17</v>
      </c>
      <c r="D1" s="58" t="s">
        <v>18</v>
      </c>
      <c r="E1" s="58" t="s">
        <v>19</v>
      </c>
      <c r="F1" s="58" t="s">
        <v>20</v>
      </c>
      <c r="G1" s="58" t="s">
        <v>21</v>
      </c>
      <c r="H1" s="58" t="s">
        <v>51</v>
      </c>
      <c r="I1" s="58" t="s">
        <v>52</v>
      </c>
      <c r="J1" s="58" t="s">
        <v>53</v>
      </c>
      <c r="K1" s="59" t="s">
        <v>54</v>
      </c>
    </row>
    <row r="2" spans="1:12">
      <c r="A2" s="60" t="s">
        <v>11</v>
      </c>
      <c r="B2" s="55">
        <f>(Raw_Data!E2/MAX(Raw_Data!$E$2:$E$5))*100</f>
        <v>78.172588832487307</v>
      </c>
      <c r="C2" s="55">
        <f>(MIN(Raw_Data!$B$2:$B$5)/Raw_Data!B2)*100</f>
        <v>77.181208053691279</v>
      </c>
      <c r="D2" s="55">
        <f>(Raw_Data!G2/MAX(Raw_Data!$G$2:$G$5))*100</f>
        <v>50</v>
      </c>
      <c r="E2" s="55">
        <f>(Raw_Data!I2/MAX(Raw_Data!$I$2:$I$5))*100</f>
        <v>84.507042253521121</v>
      </c>
      <c r="F2" s="55">
        <f>(Raw_Data!D2/MAX(Raw_Data!$D$2:$D$5))*100</f>
        <v>76.54931027383158</v>
      </c>
      <c r="G2" s="55">
        <f>(B2*0.3)+(C2*0.25)+(D2*0.2)+(E2*0.15)+(F2*0.1)</f>
        <v>73.078066028580338</v>
      </c>
      <c r="H2" s="55">
        <f>RANK(G2,$G$2:$G$5,0)</f>
        <v>3</v>
      </c>
      <c r="I2" s="55">
        <f>Stress_Calculations!G2</f>
        <v>13.9</v>
      </c>
      <c r="J2" s="55">
        <f>Stress_Calculations!D2</f>
        <v>3.99</v>
      </c>
      <c r="K2" s="61">
        <f>((J2/MAX($J$2:$J$5))*50)+((MIN($I$2:$I$5)/I2)*50)</f>
        <v>94.831460674157313</v>
      </c>
    </row>
    <row r="3" spans="1:12">
      <c r="A3" s="60" t="s">
        <v>12</v>
      </c>
      <c r="B3" s="55">
        <f>(Raw_Data!E3/MAX(Raw_Data!$E$2:$E$5))*100</f>
        <v>90.050761421319791</v>
      </c>
      <c r="C3" s="55">
        <f>(MIN(Raw_Data!$B$2:$B$5)/Raw_Data!B3)*100</f>
        <v>38.983050847457626</v>
      </c>
      <c r="D3" s="55">
        <f>(Raw_Data!G3/MAX(Raw_Data!$G$2:$G$5))*100</f>
        <v>39.732142857142854</v>
      </c>
      <c r="E3" s="55">
        <f>(Raw_Data!I3/MAX(Raw_Data!$I$2:$I$5))*100</f>
        <v>100</v>
      </c>
      <c r="F3" s="55">
        <f>(Raw_Data!D3/MAX(Raw_Data!$D$2:$D$5))*100</f>
        <v>100</v>
      </c>
      <c r="G3" s="55">
        <f t="shared" ref="G3:G5" si="0">(B3*0.3)+(C3*0.25)+(D3*0.2)+(E3*0.15)+(F3*0.1)</f>
        <v>69.707419709688907</v>
      </c>
      <c r="H3" s="55">
        <f t="shared" ref="H3:H5" si="1">RANK(G3,$G$2:$G$5,0)</f>
        <v>4</v>
      </c>
      <c r="I3" s="55">
        <f>Stress_Calculations!G3</f>
        <v>17.239999999999998</v>
      </c>
      <c r="J3" s="55">
        <f>Stress_Calculations!D3</f>
        <v>4.45</v>
      </c>
      <c r="K3" s="61">
        <f t="shared" ref="K3:K5" si="2">((J3/MAX($J$2:$J$5))*50)+((MIN($I$2:$I$5)/I3)*50)</f>
        <v>90.313225058004633</v>
      </c>
    </row>
    <row r="4" spans="1:12">
      <c r="A4" s="60" t="s">
        <v>13</v>
      </c>
      <c r="B4" s="55">
        <f>(Raw_Data!E4/MAX(Raw_Data!$E$2:$E$5))*100</f>
        <v>100</v>
      </c>
      <c r="C4" s="55">
        <f>(MIN(Raw_Data!$B$2:$B$5)/Raw_Data!B4)*100</f>
        <v>100</v>
      </c>
      <c r="D4" s="55">
        <f>(Raw_Data!G4/MAX(Raw_Data!$G$2:$G$5))*100</f>
        <v>87.499999999999986</v>
      </c>
      <c r="E4" s="55">
        <f>(Raw_Data!I4/MAX(Raw_Data!$I$2:$I$5))*100</f>
        <v>86.619718309859152</v>
      </c>
      <c r="F4" s="55">
        <f>(Raw_Data!D4/MAX(Raw_Data!$D$2:$D$5))*100</f>
        <v>73.399217624047765</v>
      </c>
      <c r="G4" s="55">
        <f t="shared" si="0"/>
        <v>92.83287950888365</v>
      </c>
      <c r="H4" s="55">
        <f t="shared" si="1"/>
        <v>1</v>
      </c>
      <c r="I4" s="55">
        <f>Stress_Calculations!G4</f>
        <v>19.3</v>
      </c>
      <c r="J4" s="55">
        <f>Stress_Calculations!D4</f>
        <v>1.65</v>
      </c>
      <c r="K4" s="61">
        <f t="shared" si="2"/>
        <v>54.549688536997145</v>
      </c>
    </row>
    <row r="5" spans="1:12" ht="15.75" thickBot="1">
      <c r="A5" s="62" t="s">
        <v>14</v>
      </c>
      <c r="B5" s="63">
        <f>(Raw_Data!E5/MAX(Raw_Data!$E$2:$E$5))*100</f>
        <v>87.208121827411162</v>
      </c>
      <c r="C5" s="63">
        <f>(MIN(Raw_Data!$B$2:$B$5)/Raw_Data!B5)*100</f>
        <v>82.142857142857139</v>
      </c>
      <c r="D5" s="63">
        <f>(Raw_Data!G5/MAX(Raw_Data!$G$2:$G$5))*100</f>
        <v>100</v>
      </c>
      <c r="E5" s="63">
        <f>(Raw_Data!I5/MAX(Raw_Data!$I$2:$I$5))*100</f>
        <v>83.450704225352112</v>
      </c>
      <c r="F5" s="63">
        <f>(Raw_Data!D5/MAX(Raw_Data!$D$2:$D$5))*100</f>
        <v>78.031706814906315</v>
      </c>
      <c r="G5" s="63">
        <f t="shared" si="0"/>
        <v>87.018927149231075</v>
      </c>
      <c r="H5" s="63">
        <f t="shared" si="1"/>
        <v>2</v>
      </c>
      <c r="I5" s="63">
        <f>Stress_Calculations!G5</f>
        <v>16.88</v>
      </c>
      <c r="J5" s="63">
        <f>Stress_Calculations!D5</f>
        <v>1.7999999999999998</v>
      </c>
      <c r="K5" s="64">
        <f t="shared" si="2"/>
        <v>61.397704883114116</v>
      </c>
    </row>
    <row r="9" spans="1:12">
      <c r="J9" s="1"/>
      <c r="K9" s="1"/>
      <c r="L9" s="1"/>
    </row>
  </sheetData>
  <pageMargins left="0.75" right="0.75" top="1" bottom="1" header="0.5" footer="0.5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Z42"/>
  <sheetViews>
    <sheetView showWhiteSpace="0" topLeftCell="A5" zoomScale="85" zoomScaleNormal="85" workbookViewId="0">
      <selection activeCell="T11" sqref="T11"/>
    </sheetView>
  </sheetViews>
  <sheetFormatPr defaultRowHeight="15"/>
  <sheetData>
    <row r="1" spans="1:19" ht="15" customHeight="1">
      <c r="A1" s="13" t="s">
        <v>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19" ht="15.75" customHeight="1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8"/>
    </row>
    <row r="3" spans="1:19" ht="15.75" customHeight="1" thickBot="1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1"/>
    </row>
    <row r="4" spans="1:19" ht="15.75" thickBo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</row>
    <row r="5" spans="1:19" ht="15.75" thickBot="1">
      <c r="A5" s="6"/>
      <c r="B5" s="40" t="s">
        <v>55</v>
      </c>
      <c r="C5" s="41"/>
      <c r="D5" s="42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</row>
    <row r="6" spans="1:19" ht="15.75" thickBot="1">
      <c r="A6" s="6"/>
      <c r="B6" s="43"/>
      <c r="C6" s="44"/>
      <c r="D6" s="45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8"/>
    </row>
    <row r="7" spans="1:19">
      <c r="A7" s="6"/>
      <c r="B7" s="31" t="str">
        <f>INDEX(BRI_Scorecard!A2:A5,MATCH(MAX(BRI_Scorecard!G2:G5),BRI_Scorecard!G2:G5,0))</f>
        <v>HDFC</v>
      </c>
      <c r="C7" s="32"/>
      <c r="D7" s="33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8"/>
    </row>
    <row r="8" spans="1:19">
      <c r="A8" s="6"/>
      <c r="B8" s="34"/>
      <c r="C8" s="35"/>
      <c r="D8" s="3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8"/>
    </row>
    <row r="9" spans="1:19" ht="15.75" thickBot="1">
      <c r="A9" s="6"/>
      <c r="B9" s="37"/>
      <c r="C9" s="38"/>
      <c r="D9" s="39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8"/>
    </row>
    <row r="10" spans="1:19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8"/>
    </row>
    <row r="11" spans="1:19" ht="15.75" thickBot="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8"/>
    </row>
    <row r="12" spans="1:19" ht="15.75" thickBot="1">
      <c r="A12" s="6"/>
      <c r="B12" s="40" t="s">
        <v>56</v>
      </c>
      <c r="C12" s="41"/>
      <c r="D12" s="42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1:19" ht="15.75" thickBot="1">
      <c r="A13" s="6"/>
      <c r="B13" s="43"/>
      <c r="C13" s="44"/>
      <c r="D13" s="45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1:19">
      <c r="A14" s="6"/>
      <c r="B14" s="46">
        <f>MAX(BRI_Scorecard!$G$2:$G$5)</f>
        <v>92.83287950888365</v>
      </c>
      <c r="C14" s="47"/>
      <c r="D14" s="48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</row>
    <row r="15" spans="1:19">
      <c r="A15" s="6"/>
      <c r="B15" s="49"/>
      <c r="C15" s="50"/>
      <c r="D15" s="51"/>
      <c r="E15" s="7"/>
      <c r="F15" s="7"/>
      <c r="G15" s="7"/>
      <c r="H15" s="7"/>
      <c r="I15" s="7"/>
      <c r="J15" s="5"/>
      <c r="K15" s="7"/>
      <c r="L15" s="7"/>
      <c r="M15" s="7"/>
      <c r="N15" s="7"/>
      <c r="O15" s="7"/>
      <c r="P15" s="7"/>
      <c r="Q15" s="7"/>
      <c r="R15" s="7"/>
      <c r="S15" s="8"/>
    </row>
    <row r="16" spans="1:19" ht="15.75" thickBot="1">
      <c r="A16" s="6"/>
      <c r="B16" s="52"/>
      <c r="C16" s="53"/>
      <c r="D16" s="54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/>
    </row>
    <row r="17" spans="1:19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8"/>
    </row>
    <row r="18" spans="1:19" ht="15.75" thickBot="1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8"/>
    </row>
    <row r="19" spans="1:19" ht="15.75" customHeight="1" thickBot="1">
      <c r="A19" s="6"/>
      <c r="B19" s="40" t="s">
        <v>57</v>
      </c>
      <c r="C19" s="41"/>
      <c r="D19" s="42"/>
      <c r="E19" s="7"/>
      <c r="F19" s="9"/>
      <c r="G19" s="9"/>
      <c r="H19" s="9"/>
      <c r="I19" s="9"/>
      <c r="J19" s="7"/>
      <c r="K19" s="22" t="s">
        <v>60</v>
      </c>
      <c r="L19" s="23"/>
      <c r="M19" s="23"/>
      <c r="N19" s="23"/>
      <c r="O19" s="23"/>
      <c r="P19" s="23"/>
      <c r="Q19" s="23"/>
      <c r="R19" s="24"/>
      <c r="S19" s="8"/>
    </row>
    <row r="20" spans="1:19" ht="15.75" customHeight="1" thickBot="1">
      <c r="A20" s="6"/>
      <c r="B20" s="43"/>
      <c r="C20" s="44"/>
      <c r="D20" s="45"/>
      <c r="E20" s="7"/>
      <c r="F20" s="9"/>
      <c r="G20" s="9"/>
      <c r="H20" s="9"/>
      <c r="I20" s="9"/>
      <c r="J20" s="7"/>
      <c r="K20" s="25"/>
      <c r="L20" s="26"/>
      <c r="M20" s="26"/>
      <c r="N20" s="26"/>
      <c r="O20" s="26"/>
      <c r="P20" s="26"/>
      <c r="Q20" s="26"/>
      <c r="R20" s="27"/>
      <c r="S20" s="8"/>
    </row>
    <row r="21" spans="1:19" ht="15" customHeight="1">
      <c r="A21" s="6"/>
      <c r="B21" s="31" t="str">
        <f>INDEX(BRI_Scorecard!$A$2:$A$5,MATCH(MAX(BRI_Scorecard!$K$2:$K$5),BRI_Scorecard!$K$2:$K$5,0))</f>
        <v>SBI</v>
      </c>
      <c r="C21" s="32"/>
      <c r="D21" s="33"/>
      <c r="E21" s="7"/>
      <c r="F21" s="9"/>
      <c r="G21" s="9"/>
      <c r="H21" s="9"/>
      <c r="I21" s="9"/>
      <c r="J21" s="7"/>
      <c r="K21" s="25"/>
      <c r="L21" s="26"/>
      <c r="M21" s="26"/>
      <c r="N21" s="26"/>
      <c r="O21" s="26"/>
      <c r="P21" s="26"/>
      <c r="Q21" s="26"/>
      <c r="R21" s="27"/>
      <c r="S21" s="8"/>
    </row>
    <row r="22" spans="1:19" ht="15" customHeight="1">
      <c r="A22" s="6"/>
      <c r="B22" s="34"/>
      <c r="C22" s="35"/>
      <c r="D22" s="36"/>
      <c r="E22" s="7"/>
      <c r="F22" s="9"/>
      <c r="G22" s="9"/>
      <c r="H22" s="9"/>
      <c r="I22" s="9"/>
      <c r="J22" s="7"/>
      <c r="K22" s="25"/>
      <c r="L22" s="26"/>
      <c r="M22" s="26"/>
      <c r="N22" s="26"/>
      <c r="O22" s="26"/>
      <c r="P22" s="26"/>
      <c r="Q22" s="26"/>
      <c r="R22" s="27"/>
      <c r="S22" s="8"/>
    </row>
    <row r="23" spans="1:19" ht="15.75" customHeight="1" thickBot="1">
      <c r="A23" s="6"/>
      <c r="B23" s="37"/>
      <c r="C23" s="38"/>
      <c r="D23" s="39"/>
      <c r="E23" s="7"/>
      <c r="F23" s="9"/>
      <c r="G23" s="9"/>
      <c r="H23" s="9"/>
      <c r="I23" s="9"/>
      <c r="J23" s="7"/>
      <c r="K23" s="25"/>
      <c r="L23" s="26"/>
      <c r="M23" s="26"/>
      <c r="N23" s="26"/>
      <c r="O23" s="26"/>
      <c r="P23" s="26"/>
      <c r="Q23" s="26"/>
      <c r="R23" s="27"/>
      <c r="S23" s="8"/>
    </row>
    <row r="24" spans="1:19" ht="15" customHeight="1">
      <c r="A24" s="6"/>
      <c r="B24" s="7"/>
      <c r="C24" s="7"/>
      <c r="D24" s="7"/>
      <c r="E24" s="7"/>
      <c r="F24" s="9"/>
      <c r="G24" s="9"/>
      <c r="H24" s="9"/>
      <c r="I24" s="9"/>
      <c r="J24" s="7"/>
      <c r="K24" s="25"/>
      <c r="L24" s="26"/>
      <c r="M24" s="26"/>
      <c r="N24" s="26"/>
      <c r="O24" s="26"/>
      <c r="P24" s="26"/>
      <c r="Q24" s="26"/>
      <c r="R24" s="27"/>
      <c r="S24" s="8"/>
    </row>
    <row r="25" spans="1:19" ht="15" customHeight="1" thickBot="1">
      <c r="A25" s="6"/>
      <c r="B25" s="7"/>
      <c r="C25" s="7"/>
      <c r="D25" s="7"/>
      <c r="E25" s="7"/>
      <c r="F25" s="9"/>
      <c r="G25" s="9"/>
      <c r="H25" s="9"/>
      <c r="I25" s="9"/>
      <c r="J25" s="7"/>
      <c r="K25" s="25"/>
      <c r="L25" s="26"/>
      <c r="M25" s="26"/>
      <c r="N25" s="26"/>
      <c r="O25" s="26"/>
      <c r="P25" s="26"/>
      <c r="Q25" s="26"/>
      <c r="R25" s="27"/>
      <c r="S25" s="8"/>
    </row>
    <row r="26" spans="1:19" ht="15" customHeight="1" thickBot="1">
      <c r="A26" s="6"/>
      <c r="B26" s="40" t="s">
        <v>58</v>
      </c>
      <c r="C26" s="41"/>
      <c r="D26" s="42"/>
      <c r="E26" s="7"/>
      <c r="F26" s="9"/>
      <c r="G26" s="9"/>
      <c r="H26" s="9"/>
      <c r="I26" s="9"/>
      <c r="J26" s="7"/>
      <c r="K26" s="25"/>
      <c r="L26" s="26"/>
      <c r="M26" s="26"/>
      <c r="N26" s="26"/>
      <c r="O26" s="26"/>
      <c r="P26" s="26"/>
      <c r="Q26" s="26"/>
      <c r="R26" s="27"/>
      <c r="S26" s="8"/>
    </row>
    <row r="27" spans="1:19" ht="15" customHeight="1" thickBot="1">
      <c r="A27" s="6"/>
      <c r="B27" s="43"/>
      <c r="C27" s="44"/>
      <c r="D27" s="45"/>
      <c r="E27" s="7"/>
      <c r="F27" s="9"/>
      <c r="G27" s="9"/>
      <c r="H27" s="9"/>
      <c r="I27" s="9"/>
      <c r="J27" s="7"/>
      <c r="K27" s="25"/>
      <c r="L27" s="26"/>
      <c r="M27" s="26"/>
      <c r="N27" s="26"/>
      <c r="O27" s="26"/>
      <c r="P27" s="26"/>
      <c r="Q27" s="26"/>
      <c r="R27" s="27"/>
      <c r="S27" s="8"/>
    </row>
    <row r="28" spans="1:19" ht="15" customHeight="1">
      <c r="A28" s="6"/>
      <c r="B28" s="46">
        <f>MAX(BRI_Scorecard!$K$2:$K$5)</f>
        <v>94.831460674157313</v>
      </c>
      <c r="C28" s="47"/>
      <c r="D28" s="48"/>
      <c r="E28" s="7"/>
      <c r="F28" s="9"/>
      <c r="G28" s="9"/>
      <c r="H28" s="9"/>
      <c r="I28" s="9"/>
      <c r="J28" s="7"/>
      <c r="K28" s="25"/>
      <c r="L28" s="26"/>
      <c r="M28" s="26"/>
      <c r="N28" s="26"/>
      <c r="O28" s="26"/>
      <c r="P28" s="26"/>
      <c r="Q28" s="26"/>
      <c r="R28" s="27"/>
      <c r="S28" s="8"/>
    </row>
    <row r="29" spans="1:19" ht="15" customHeight="1">
      <c r="A29" s="6"/>
      <c r="B29" s="49"/>
      <c r="C29" s="50"/>
      <c r="D29" s="51"/>
      <c r="E29" s="7"/>
      <c r="F29" s="9"/>
      <c r="G29" s="9"/>
      <c r="H29" s="9"/>
      <c r="I29" s="9"/>
      <c r="J29" s="7"/>
      <c r="K29" s="25"/>
      <c r="L29" s="26"/>
      <c r="M29" s="26"/>
      <c r="N29" s="26"/>
      <c r="O29" s="26"/>
      <c r="P29" s="26"/>
      <c r="Q29" s="26"/>
      <c r="R29" s="27"/>
      <c r="S29" s="8"/>
    </row>
    <row r="30" spans="1:19" ht="15" customHeight="1" thickBot="1">
      <c r="A30" s="6"/>
      <c r="B30" s="52"/>
      <c r="C30" s="53"/>
      <c r="D30" s="54"/>
      <c r="E30" s="7"/>
      <c r="F30" s="9"/>
      <c r="G30" s="9"/>
      <c r="H30" s="9"/>
      <c r="I30" s="9"/>
      <c r="J30" s="7"/>
      <c r="K30" s="28"/>
      <c r="L30" s="29"/>
      <c r="M30" s="29"/>
      <c r="N30" s="29"/>
      <c r="O30" s="29"/>
      <c r="P30" s="29"/>
      <c r="Q30" s="29"/>
      <c r="R30" s="30"/>
      <c r="S30" s="8"/>
    </row>
    <row r="31" spans="1:19" ht="15" customHeight="1" thickBot="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2"/>
    </row>
    <row r="32" spans="1:19" ht="15" customHeight="1"/>
    <row r="33" spans="26:26" ht="15" customHeight="1"/>
    <row r="34" spans="26:26" ht="15" customHeight="1"/>
    <row r="35" spans="26:26" ht="15" customHeight="1"/>
    <row r="36" spans="26:26" ht="15" customHeight="1"/>
    <row r="37" spans="26:26" ht="15" customHeight="1"/>
    <row r="38" spans="26:26" ht="15" customHeight="1"/>
    <row r="39" spans="26:26" ht="15" customHeight="1"/>
    <row r="40" spans="26:26" ht="15" customHeight="1">
      <c r="Z40" s="4"/>
    </row>
    <row r="41" spans="26:26" ht="15" customHeight="1"/>
    <row r="42" spans="26:26" ht="15" customHeight="1"/>
  </sheetData>
  <mergeCells count="10">
    <mergeCell ref="A1:S3"/>
    <mergeCell ref="K19:R30"/>
    <mergeCell ref="B21:D23"/>
    <mergeCell ref="B26:D27"/>
    <mergeCell ref="B28:D30"/>
    <mergeCell ref="B5:D6"/>
    <mergeCell ref="B7:D9"/>
    <mergeCell ref="B12:D13"/>
    <mergeCell ref="B14:D16"/>
    <mergeCell ref="B19:D20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Stress_Calculations</vt:lpstr>
      <vt:lpstr>Stress_Assumptions</vt:lpstr>
      <vt:lpstr>BRI_Scorecard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Upadhyay</cp:lastModifiedBy>
  <dcterms:created xsi:type="dcterms:W3CDTF">2026-06-17T12:35:17Z</dcterms:created>
  <dcterms:modified xsi:type="dcterms:W3CDTF">2026-06-20T16:09:27Z</dcterms:modified>
</cp:coreProperties>
</file>